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" i="3"/>
  <c r="C2" i="3"/>
  <c r="C3" i="3"/>
  <c r="C4" i="3"/>
  <c r="C5" i="3"/>
  <c r="C6" i="3"/>
  <c r="C7" i="3"/>
  <c r="C8" i="3"/>
  <c r="C1" i="3"/>
  <c r="B1" i="3"/>
  <c r="B2" i="3"/>
  <c r="B3" i="3"/>
  <c r="B4" i="3"/>
  <c r="B5" i="3"/>
  <c r="B6" i="3"/>
  <c r="A10" i="3"/>
  <c r="A3" i="3"/>
  <c r="A4" i="3" s="1"/>
  <c r="A5" i="3" s="1"/>
  <c r="A6" i="3" s="1"/>
  <c r="A7" i="3" s="1"/>
  <c r="A8" i="3" s="1"/>
  <c r="A9" i="3" s="1"/>
  <c r="A2" i="3"/>
  <c r="B1" i="2"/>
  <c r="B2" i="2"/>
  <c r="B3" i="2"/>
  <c r="B4" i="2"/>
  <c r="B5" i="2"/>
  <c r="B6" i="2"/>
  <c r="B8" i="2"/>
  <c r="B9" i="2"/>
  <c r="D9" i="2" s="1"/>
  <c r="E17" i="2" s="1"/>
  <c r="B7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3" i="2"/>
  <c r="A4" i="2" s="1"/>
  <c r="A5" i="2" s="1"/>
  <c r="A6" i="2" s="1"/>
  <c r="A7" i="2" s="1"/>
  <c r="A8" i="2" s="1"/>
  <c r="A9" i="2" s="1"/>
  <c r="A2" i="2"/>
  <c r="G45" i="1"/>
  <c r="G46" i="1"/>
  <c r="G47" i="1"/>
  <c r="G48" i="1"/>
  <c r="G49" i="1"/>
  <c r="G41" i="1"/>
  <c r="G42" i="1"/>
  <c r="G43" i="1"/>
  <c r="G44" i="1"/>
  <c r="G40" i="1"/>
  <c r="G36" i="1"/>
  <c r="G37" i="1"/>
  <c r="G38" i="1"/>
  <c r="G39" i="1"/>
  <c r="G35" i="1"/>
  <c r="G33" i="1"/>
  <c r="G34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1" i="1"/>
  <c r="E1" i="1"/>
  <c r="E43" i="1"/>
  <c r="E44" i="1"/>
  <c r="E45" i="1"/>
  <c r="E46" i="1"/>
  <c r="E47" i="1"/>
  <c r="E48" i="1"/>
  <c r="E49" i="1"/>
  <c r="E42" i="1"/>
  <c r="A43" i="1"/>
  <c r="C43" i="1" s="1"/>
  <c r="A44" i="1"/>
  <c r="A45" i="1" s="1"/>
  <c r="A46" i="1" s="1"/>
  <c r="A47" i="1" s="1"/>
  <c r="A48" i="1" s="1"/>
  <c r="A49" i="1" s="1"/>
  <c r="E41" i="1"/>
  <c r="E38" i="1"/>
  <c r="E39" i="1"/>
  <c r="E40" i="1"/>
  <c r="E37" i="1"/>
  <c r="C33" i="1"/>
  <c r="E33" i="1"/>
  <c r="E34" i="1"/>
  <c r="E35" i="1"/>
  <c r="E36" i="1"/>
  <c r="E3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C1" i="1"/>
  <c r="C41" i="1"/>
  <c r="C42" i="1"/>
  <c r="C38" i="1"/>
  <c r="A41" i="1"/>
  <c r="A42" i="1" s="1"/>
  <c r="C35" i="1"/>
  <c r="C36" i="1"/>
  <c r="C37" i="1"/>
  <c r="C39" i="1"/>
  <c r="C40" i="1"/>
  <c r="A35" i="1"/>
  <c r="A36" i="1" s="1"/>
  <c r="A37" i="1" s="1"/>
  <c r="A38" i="1" s="1"/>
  <c r="A39" i="1" s="1"/>
  <c r="A40" i="1" s="1"/>
  <c r="C34" i="1"/>
  <c r="C30" i="1"/>
  <c r="C31" i="1"/>
  <c r="C32" i="1"/>
  <c r="C29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2" i="1"/>
  <c r="E1" i="2" l="1"/>
  <c r="E4" i="2"/>
  <c r="E24" i="2"/>
  <c r="E16" i="2"/>
  <c r="E11" i="2"/>
  <c r="E3" i="2"/>
  <c r="E23" i="2"/>
  <c r="E15" i="2"/>
  <c r="E10" i="2"/>
  <c r="E2" i="2"/>
  <c r="E22" i="2"/>
  <c r="E9" i="2"/>
  <c r="E12" i="2"/>
  <c r="E21" i="2"/>
  <c r="E8" i="2"/>
  <c r="E13" i="2"/>
  <c r="E20" i="2"/>
  <c r="E7" i="2"/>
  <c r="E14" i="2"/>
  <c r="E19" i="2"/>
  <c r="E6" i="2"/>
  <c r="E26" i="2"/>
  <c r="E18" i="2"/>
  <c r="E5" i="2"/>
  <c r="E25" i="2"/>
</calcChain>
</file>

<file path=xl/sharedStrings.xml><?xml version="1.0" encoding="utf-8"?>
<sst xmlns="http://schemas.openxmlformats.org/spreadsheetml/2006/main" count="16" uniqueCount="6">
  <si>
    <t>час</t>
  </si>
  <si>
    <t>день</t>
  </si>
  <si>
    <t>месяц</t>
  </si>
  <si>
    <t>год</t>
  </si>
  <si>
    <t>day</t>
  </si>
  <si>
    <t>сутки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</si>
</sst>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333333"/>
      <name val="Courier New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Лист1!$B$1:$B$15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3.0000000000000001E-3</c:v>
                </c:pt>
                <c:pt idx="8">
                  <c:v>4.0000000000000001E-3</c:v>
                </c:pt>
                <c:pt idx="9">
                  <c:v>8.9999999999999993E-3</c:v>
                </c:pt>
                <c:pt idx="10">
                  <c:v>3.5999999999999997E-2</c:v>
                </c:pt>
                <c:pt idx="11">
                  <c:v>4.2999999999999997E-2</c:v>
                </c:pt>
                <c:pt idx="12">
                  <c:v>8.1000000000000003E-2</c:v>
                </c:pt>
                <c:pt idx="13">
                  <c:v>0.17599999999999999</c:v>
                </c:pt>
                <c:pt idx="14">
                  <c:v>0.39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075440"/>
        <c:axId val="645078224"/>
      </c:lineChart>
      <c:catAx>
        <c:axId val="680075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078224"/>
        <c:crosses val="autoZero"/>
        <c:auto val="1"/>
        <c:lblAlgn val="ctr"/>
        <c:lblOffset val="100"/>
        <c:noMultiLvlLbl val="0"/>
      </c:catAx>
      <c:valAx>
        <c:axId val="64507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007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Лист2!$B$1:$B$10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24</c:v>
                </c:pt>
                <c:pt idx="4">
                  <c:v>120</c:v>
                </c:pt>
                <c:pt idx="5">
                  <c:v>720</c:v>
                </c:pt>
                <c:pt idx="6">
                  <c:v>5040</c:v>
                </c:pt>
                <c:pt idx="7">
                  <c:v>40320</c:v>
                </c:pt>
                <c:pt idx="8">
                  <c:v>362880</c:v>
                </c:pt>
                <c:pt idx="9">
                  <c:v>3628800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417248"/>
        <c:axId val="837418336"/>
      </c:lineChart>
      <c:catAx>
        <c:axId val="837417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7418336"/>
        <c:crosses val="autoZero"/>
        <c:auto val="1"/>
        <c:lblAlgn val="ctr"/>
        <c:lblOffset val="100"/>
        <c:noMultiLvlLbl val="0"/>
      </c:catAx>
      <c:valAx>
        <c:axId val="83741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741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Лист3!$D$1:$D$10</c:f>
              <c:numCache>
                <c:formatCode>General</c:formatCode>
                <c:ptCount val="10"/>
                <c:pt idx="0">
                  <c:v>1</c:v>
                </c:pt>
                <c:pt idx="1">
                  <c:v>9</c:v>
                </c:pt>
                <c:pt idx="2">
                  <c:v>72</c:v>
                </c:pt>
                <c:pt idx="3">
                  <c:v>504</c:v>
                </c:pt>
                <c:pt idx="4">
                  <c:v>3024</c:v>
                </c:pt>
                <c:pt idx="5">
                  <c:v>15120</c:v>
                </c:pt>
                <c:pt idx="6">
                  <c:v>60480</c:v>
                </c:pt>
                <c:pt idx="7">
                  <c:v>181440</c:v>
                </c:pt>
                <c:pt idx="8">
                  <c:v>362880</c:v>
                </c:pt>
                <c:pt idx="9">
                  <c:v>362880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849568"/>
        <c:axId val="885848480"/>
      </c:lineChart>
      <c:catAx>
        <c:axId val="885849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5848480"/>
        <c:crosses val="autoZero"/>
        <c:auto val="1"/>
        <c:lblAlgn val="ctr"/>
        <c:lblOffset val="100"/>
        <c:noMultiLvlLbl val="0"/>
      </c:catAx>
      <c:valAx>
        <c:axId val="88584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584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457199</xdr:colOff>
      <xdr:row>9</xdr:row>
      <xdr:rowOff>19050</xdr:rowOff>
    </xdr:from>
    <xdr:to>
      <xdr:col>14</xdr:col>
      <xdr:colOff>600074</xdr:colOff>
      <xdr:row>20</xdr:row>
      <xdr:rowOff>180976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</xdr:row>
      <xdr:rowOff>19049</xdr:rowOff>
    </xdr:from>
    <xdr:to>
      <xdr:col>16</xdr:col>
      <xdr:colOff>238125</xdr:colOff>
      <xdr:row>21</xdr:row>
      <xdr:rowOff>9524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190499</xdr:rowOff>
    </xdr:from>
    <xdr:to>
      <xdr:col>18</xdr:col>
      <xdr:colOff>590550</xdr:colOff>
      <xdr:row>27</xdr:row>
      <xdr:rowOff>180974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B1" sqref="B1"/>
    </sheetView>
  </sheetViews>
  <sheetFormatPr defaultRowHeight="15" x14ac:dyDescent="0.25"/>
  <cols>
    <col min="3" max="3" width="12" bestFit="1" customWidth="1"/>
    <col min="5" max="5" width="12" bestFit="1" customWidth="1"/>
    <col min="7" max="7" width="12" bestFit="1" customWidth="1"/>
  </cols>
  <sheetData>
    <row r="1" spans="1:7" ht="15.75" thickBot="1" x14ac:dyDescent="0.3">
      <c r="A1">
        <v>1</v>
      </c>
      <c r="B1">
        <v>0</v>
      </c>
      <c r="C1" s="2">
        <f>0.0000115869641411928*2^A1</f>
        <v>2.3173928282385601E-5</v>
      </c>
      <c r="E1">
        <f>0.0000115869641411928*2^A1 / 10</f>
        <v>2.3173928282385599E-6</v>
      </c>
      <c r="G1">
        <f>0.0000115869641411928*2^A1 / 100</f>
        <v>2.3173928282385601E-7</v>
      </c>
    </row>
    <row r="2" spans="1:7" ht="15.75" thickBot="1" x14ac:dyDescent="0.3">
      <c r="A2">
        <f>A1+1</f>
        <v>2</v>
      </c>
      <c r="B2">
        <v>0</v>
      </c>
      <c r="C2" s="2">
        <f t="shared" ref="C2:C35" si="0">0.0000115869641411928*2^A2</f>
        <v>4.6347856564771202E-5</v>
      </c>
      <c r="E2">
        <f t="shared" ref="E2:E43" si="1">0.0000115869641411928*2^A2 / 10</f>
        <v>4.6347856564771198E-6</v>
      </c>
      <c r="G2">
        <f t="shared" ref="G2:G49" si="2">0.0000115869641411928*2^A2 / 100</f>
        <v>4.6347856564771201E-7</v>
      </c>
    </row>
    <row r="3" spans="1:7" ht="15.75" thickBot="1" x14ac:dyDescent="0.3">
      <c r="A3">
        <f t="shared" ref="A3:A49" si="3">A2+1</f>
        <v>3</v>
      </c>
      <c r="B3">
        <v>0</v>
      </c>
      <c r="C3" s="2">
        <f t="shared" si="0"/>
        <v>9.2695713129542403E-5</v>
      </c>
      <c r="E3">
        <f t="shared" si="1"/>
        <v>9.2695713129542396E-6</v>
      </c>
      <c r="G3">
        <f t="shared" si="2"/>
        <v>9.2695713129542403E-7</v>
      </c>
    </row>
    <row r="4" spans="1:7" ht="15.75" thickBot="1" x14ac:dyDescent="0.3">
      <c r="A4">
        <f t="shared" si="3"/>
        <v>4</v>
      </c>
      <c r="B4">
        <v>0</v>
      </c>
      <c r="C4" s="2">
        <f t="shared" si="0"/>
        <v>1.8539142625908481E-4</v>
      </c>
      <c r="E4">
        <f t="shared" si="1"/>
        <v>1.8539142625908479E-5</v>
      </c>
      <c r="G4">
        <f t="shared" si="2"/>
        <v>1.8539142625908481E-6</v>
      </c>
    </row>
    <row r="5" spans="1:7" ht="15.75" thickBot="1" x14ac:dyDescent="0.3">
      <c r="A5">
        <f t="shared" si="3"/>
        <v>5</v>
      </c>
      <c r="B5">
        <v>0</v>
      </c>
      <c r="C5" s="2">
        <f t="shared" si="0"/>
        <v>3.7078285251816961E-4</v>
      </c>
      <c r="E5">
        <f t="shared" si="1"/>
        <v>3.7078285251816959E-5</v>
      </c>
      <c r="G5">
        <f t="shared" si="2"/>
        <v>3.7078285251816961E-6</v>
      </c>
    </row>
    <row r="6" spans="1:7" ht="15.75" thickBot="1" x14ac:dyDescent="0.3">
      <c r="A6">
        <f t="shared" si="3"/>
        <v>6</v>
      </c>
      <c r="B6">
        <v>0</v>
      </c>
      <c r="C6" s="2">
        <f t="shared" si="0"/>
        <v>7.4156570503633923E-4</v>
      </c>
      <c r="E6">
        <f t="shared" si="1"/>
        <v>7.4156570503633917E-5</v>
      </c>
      <c r="G6">
        <f t="shared" si="2"/>
        <v>7.4156570503633922E-6</v>
      </c>
    </row>
    <row r="7" spans="1:7" ht="15.75" thickBot="1" x14ac:dyDescent="0.3">
      <c r="A7">
        <f t="shared" si="3"/>
        <v>7</v>
      </c>
      <c r="B7">
        <v>0</v>
      </c>
      <c r="C7" s="2">
        <f t="shared" si="0"/>
        <v>1.4831314100726785E-3</v>
      </c>
      <c r="E7">
        <f t="shared" si="1"/>
        <v>1.4831314100726783E-4</v>
      </c>
      <c r="G7">
        <f t="shared" si="2"/>
        <v>1.4831314100726784E-5</v>
      </c>
    </row>
    <row r="8" spans="1:7" ht="15.75" thickBot="1" x14ac:dyDescent="0.3">
      <c r="A8">
        <f t="shared" si="3"/>
        <v>8</v>
      </c>
      <c r="B8" s="1">
        <v>3.0000000000000001E-3</v>
      </c>
      <c r="C8" s="2">
        <f t="shared" si="0"/>
        <v>2.9662628201453569E-3</v>
      </c>
      <c r="E8">
        <f t="shared" si="1"/>
        <v>2.9662628201453567E-4</v>
      </c>
      <c r="G8">
        <f t="shared" si="2"/>
        <v>2.9662628201453569E-5</v>
      </c>
    </row>
    <row r="9" spans="1:7" ht="15.75" thickBot="1" x14ac:dyDescent="0.3">
      <c r="A9">
        <f t="shared" si="3"/>
        <v>9</v>
      </c>
      <c r="B9" s="1">
        <v>4.0000000000000001E-3</v>
      </c>
      <c r="C9" s="2">
        <f t="shared" si="0"/>
        <v>5.9325256402907138E-3</v>
      </c>
      <c r="E9">
        <f t="shared" si="1"/>
        <v>5.9325256402907134E-4</v>
      </c>
      <c r="G9">
        <f t="shared" si="2"/>
        <v>5.9325256402907138E-5</v>
      </c>
    </row>
    <row r="10" spans="1:7" ht="15.75" thickBot="1" x14ac:dyDescent="0.3">
      <c r="A10">
        <f t="shared" si="3"/>
        <v>10</v>
      </c>
      <c r="B10" s="1">
        <v>8.9999999999999993E-3</v>
      </c>
      <c r="C10" s="2">
        <f t="shared" si="0"/>
        <v>1.1865051280581428E-2</v>
      </c>
      <c r="E10">
        <f t="shared" si="1"/>
        <v>1.1865051280581427E-3</v>
      </c>
      <c r="G10">
        <f t="shared" si="2"/>
        <v>1.1865051280581428E-4</v>
      </c>
    </row>
    <row r="11" spans="1:7" ht="15.75" thickBot="1" x14ac:dyDescent="0.3">
      <c r="A11">
        <f t="shared" si="3"/>
        <v>11</v>
      </c>
      <c r="B11" s="1">
        <v>3.5999999999999997E-2</v>
      </c>
      <c r="C11" s="2">
        <f t="shared" si="0"/>
        <v>2.3730102561162855E-2</v>
      </c>
      <c r="E11">
        <f t="shared" si="1"/>
        <v>2.3730102561162853E-3</v>
      </c>
      <c r="G11">
        <f t="shared" si="2"/>
        <v>2.3730102561162855E-4</v>
      </c>
    </row>
    <row r="12" spans="1:7" ht="15.75" thickBot="1" x14ac:dyDescent="0.3">
      <c r="A12">
        <f t="shared" si="3"/>
        <v>12</v>
      </c>
      <c r="B12" s="1">
        <v>4.2999999999999997E-2</v>
      </c>
      <c r="C12" s="2">
        <f t="shared" si="0"/>
        <v>4.746020512232571E-2</v>
      </c>
      <c r="E12">
        <f t="shared" si="1"/>
        <v>4.7460205122325707E-3</v>
      </c>
      <c r="G12">
        <f t="shared" si="2"/>
        <v>4.746020512232571E-4</v>
      </c>
    </row>
    <row r="13" spans="1:7" ht="15.75" thickBot="1" x14ac:dyDescent="0.3">
      <c r="A13">
        <f t="shared" si="3"/>
        <v>13</v>
      </c>
      <c r="B13">
        <v>8.1000000000000003E-2</v>
      </c>
      <c r="C13" s="2">
        <f t="shared" si="0"/>
        <v>9.4920410244651421E-2</v>
      </c>
      <c r="E13">
        <f t="shared" si="1"/>
        <v>9.4920410244651414E-3</v>
      </c>
      <c r="G13">
        <f t="shared" si="2"/>
        <v>9.492041024465142E-4</v>
      </c>
    </row>
    <row r="14" spans="1:7" ht="15.75" thickBot="1" x14ac:dyDescent="0.3">
      <c r="A14">
        <f t="shared" si="3"/>
        <v>14</v>
      </c>
      <c r="B14">
        <v>0.17599999999999999</v>
      </c>
      <c r="C14" s="2">
        <f t="shared" si="0"/>
        <v>0.18984082048930284</v>
      </c>
      <c r="E14">
        <f t="shared" si="1"/>
        <v>1.8984082048930283E-2</v>
      </c>
      <c r="G14">
        <f t="shared" si="2"/>
        <v>1.8984082048930284E-3</v>
      </c>
    </row>
    <row r="15" spans="1:7" ht="15.75" thickBot="1" x14ac:dyDescent="0.3">
      <c r="A15">
        <f t="shared" si="3"/>
        <v>15</v>
      </c>
      <c r="B15">
        <v>0.39</v>
      </c>
      <c r="C15" s="2">
        <f t="shared" si="0"/>
        <v>0.37968164097860568</v>
      </c>
      <c r="E15">
        <f t="shared" si="1"/>
        <v>3.7968164097860566E-2</v>
      </c>
      <c r="G15">
        <f t="shared" si="2"/>
        <v>3.7968164097860568E-3</v>
      </c>
    </row>
    <row r="16" spans="1:7" ht="15.75" thickBot="1" x14ac:dyDescent="0.3">
      <c r="A16">
        <f t="shared" si="3"/>
        <v>16</v>
      </c>
      <c r="C16" s="2">
        <f t="shared" si="0"/>
        <v>0.75936328195721137</v>
      </c>
      <c r="E16">
        <f t="shared" si="1"/>
        <v>7.5936328195721131E-2</v>
      </c>
      <c r="G16">
        <f t="shared" si="2"/>
        <v>7.5936328195721136E-3</v>
      </c>
    </row>
    <row r="17" spans="1:7" ht="15.75" thickBot="1" x14ac:dyDescent="0.3">
      <c r="A17">
        <f t="shared" si="3"/>
        <v>17</v>
      </c>
      <c r="C17" s="2">
        <f t="shared" si="0"/>
        <v>1.5187265639144227</v>
      </c>
      <c r="E17">
        <f t="shared" si="1"/>
        <v>0.15187265639144226</v>
      </c>
      <c r="G17">
        <f t="shared" si="2"/>
        <v>1.5187265639144227E-2</v>
      </c>
    </row>
    <row r="18" spans="1:7" ht="15.75" thickBot="1" x14ac:dyDescent="0.3">
      <c r="A18">
        <f t="shared" si="3"/>
        <v>18</v>
      </c>
      <c r="C18" s="2">
        <f t="shared" si="0"/>
        <v>3.0374531278288455</v>
      </c>
      <c r="E18">
        <f t="shared" si="1"/>
        <v>0.30374531278288452</v>
      </c>
      <c r="G18">
        <f t="shared" si="2"/>
        <v>3.0374531278288455E-2</v>
      </c>
    </row>
    <row r="19" spans="1:7" ht="15.75" thickBot="1" x14ac:dyDescent="0.3">
      <c r="A19">
        <f t="shared" si="3"/>
        <v>19</v>
      </c>
      <c r="C19" s="2">
        <f t="shared" si="0"/>
        <v>6.0749062556576909</v>
      </c>
      <c r="E19">
        <f t="shared" si="1"/>
        <v>0.60749062556576905</v>
      </c>
      <c r="G19">
        <f t="shared" si="2"/>
        <v>6.0749062556576909E-2</v>
      </c>
    </row>
    <row r="20" spans="1:7" ht="15.75" thickBot="1" x14ac:dyDescent="0.3">
      <c r="A20">
        <f t="shared" si="3"/>
        <v>20</v>
      </c>
      <c r="C20" s="2">
        <f t="shared" si="0"/>
        <v>12.149812511315382</v>
      </c>
      <c r="E20">
        <f t="shared" si="1"/>
        <v>1.2149812511315381</v>
      </c>
      <c r="G20">
        <f t="shared" si="2"/>
        <v>0.12149812511315382</v>
      </c>
    </row>
    <row r="21" spans="1:7" ht="15.75" thickBot="1" x14ac:dyDescent="0.3">
      <c r="A21">
        <f t="shared" si="3"/>
        <v>21</v>
      </c>
      <c r="C21" s="2">
        <f t="shared" si="0"/>
        <v>24.299625022630764</v>
      </c>
      <c r="E21">
        <f t="shared" si="1"/>
        <v>2.4299625022630762</v>
      </c>
      <c r="G21">
        <f t="shared" si="2"/>
        <v>0.24299625022630764</v>
      </c>
    </row>
    <row r="22" spans="1:7" ht="15.75" thickBot="1" x14ac:dyDescent="0.3">
      <c r="A22">
        <f t="shared" si="3"/>
        <v>22</v>
      </c>
      <c r="C22" s="2">
        <f t="shared" si="0"/>
        <v>48.599250045261527</v>
      </c>
      <c r="E22">
        <f t="shared" si="1"/>
        <v>4.8599250045261524</v>
      </c>
      <c r="G22">
        <f t="shared" si="2"/>
        <v>0.48599250045261527</v>
      </c>
    </row>
    <row r="23" spans="1:7" ht="15.75" thickBot="1" x14ac:dyDescent="0.3">
      <c r="A23">
        <f t="shared" si="3"/>
        <v>23</v>
      </c>
      <c r="C23" s="2">
        <f t="shared" si="0"/>
        <v>97.198500090523055</v>
      </c>
      <c r="E23">
        <f t="shared" si="1"/>
        <v>9.7198500090523048</v>
      </c>
      <c r="G23">
        <f t="shared" si="2"/>
        <v>0.97198500090523055</v>
      </c>
    </row>
    <row r="24" spans="1:7" ht="15.75" thickBot="1" x14ac:dyDescent="0.3">
      <c r="A24">
        <f t="shared" si="3"/>
        <v>24</v>
      </c>
      <c r="C24" s="2">
        <f t="shared" si="0"/>
        <v>194.39700018104611</v>
      </c>
      <c r="E24">
        <f t="shared" si="1"/>
        <v>19.43970001810461</v>
      </c>
      <c r="G24">
        <f t="shared" si="2"/>
        <v>1.9439700018104611</v>
      </c>
    </row>
    <row r="25" spans="1:7" ht="15.75" thickBot="1" x14ac:dyDescent="0.3">
      <c r="A25">
        <f t="shared" si="3"/>
        <v>25</v>
      </c>
      <c r="C25" s="2">
        <f t="shared" si="0"/>
        <v>388.79400036209222</v>
      </c>
      <c r="E25">
        <f t="shared" si="1"/>
        <v>38.879400036209219</v>
      </c>
      <c r="G25">
        <f t="shared" si="2"/>
        <v>3.8879400036209222</v>
      </c>
    </row>
    <row r="26" spans="1:7" ht="15.75" thickBot="1" x14ac:dyDescent="0.3">
      <c r="A26">
        <f t="shared" si="3"/>
        <v>26</v>
      </c>
      <c r="C26" s="2">
        <f t="shared" si="0"/>
        <v>777.58800072418444</v>
      </c>
      <c r="E26">
        <f t="shared" si="1"/>
        <v>77.758800072418438</v>
      </c>
      <c r="G26">
        <f t="shared" si="2"/>
        <v>7.7758800072418444</v>
      </c>
    </row>
    <row r="27" spans="1:7" ht="15.75" thickBot="1" x14ac:dyDescent="0.3">
      <c r="A27">
        <f t="shared" si="3"/>
        <v>27</v>
      </c>
      <c r="C27" s="2">
        <f t="shared" si="0"/>
        <v>1555.1760014483689</v>
      </c>
      <c r="E27">
        <f t="shared" si="1"/>
        <v>155.51760014483688</v>
      </c>
      <c r="G27">
        <f t="shared" si="2"/>
        <v>15.551760014483689</v>
      </c>
    </row>
    <row r="28" spans="1:7" ht="15.75" thickBot="1" x14ac:dyDescent="0.3">
      <c r="A28" s="3">
        <f t="shared" si="3"/>
        <v>28</v>
      </c>
      <c r="C28" s="2">
        <f t="shared" si="0"/>
        <v>3110.3520028967378</v>
      </c>
      <c r="D28" t="s">
        <v>0</v>
      </c>
      <c r="E28">
        <f t="shared" si="1"/>
        <v>311.03520028967375</v>
      </c>
      <c r="G28">
        <f t="shared" si="2"/>
        <v>31.103520028967377</v>
      </c>
    </row>
    <row r="29" spans="1:7" ht="15.75" thickBot="1" x14ac:dyDescent="0.3">
      <c r="A29">
        <f t="shared" si="3"/>
        <v>29</v>
      </c>
      <c r="C29" s="2">
        <f>0.0000115869641411928*2^A29 / 3600</f>
        <v>1.7279733349426321</v>
      </c>
      <c r="E29">
        <f t="shared" si="1"/>
        <v>622.07040057934751</v>
      </c>
      <c r="G29">
        <f t="shared" si="2"/>
        <v>62.207040057934755</v>
      </c>
    </row>
    <row r="30" spans="1:7" ht="15.75" thickBot="1" x14ac:dyDescent="0.3">
      <c r="A30">
        <f t="shared" si="3"/>
        <v>30</v>
      </c>
      <c r="C30" s="2">
        <f t="shared" ref="C30:C35" si="4">0.0000115869641411928*2^A30 / 3600</f>
        <v>3.4559466698852641</v>
      </c>
      <c r="E30">
        <f t="shared" si="1"/>
        <v>1244.140801158695</v>
      </c>
      <c r="G30">
        <f t="shared" si="2"/>
        <v>124.41408011586951</v>
      </c>
    </row>
    <row r="31" spans="1:7" ht="15.75" thickBot="1" x14ac:dyDescent="0.3">
      <c r="A31" s="4">
        <f t="shared" si="3"/>
        <v>31</v>
      </c>
      <c r="C31" s="2">
        <f t="shared" si="4"/>
        <v>6.9118933397705282</v>
      </c>
      <c r="E31">
        <f t="shared" si="1"/>
        <v>2488.28160231739</v>
      </c>
      <c r="F31" t="s">
        <v>0</v>
      </c>
      <c r="G31">
        <f t="shared" si="2"/>
        <v>248.82816023173902</v>
      </c>
    </row>
    <row r="32" spans="1:7" ht="15.75" thickBot="1" x14ac:dyDescent="0.3">
      <c r="A32" s="3">
        <f t="shared" si="3"/>
        <v>32</v>
      </c>
      <c r="C32" s="2">
        <f t="shared" si="4"/>
        <v>13.823786679541056</v>
      </c>
      <c r="D32" t="s">
        <v>1</v>
      </c>
      <c r="E32">
        <f>0.0000115869641411928*2^A32 / 10 / 3600</f>
        <v>1.3823786679541055</v>
      </c>
      <c r="G32">
        <f t="shared" si="2"/>
        <v>497.65632046347804</v>
      </c>
    </row>
    <row r="33" spans="1:8" ht="15.75" thickBot="1" x14ac:dyDescent="0.3">
      <c r="A33">
        <f t="shared" si="3"/>
        <v>33</v>
      </c>
      <c r="C33" s="2">
        <f>0.0000115869641411928*2^A33 / 3600 / 24</f>
        <v>1.151982223295088</v>
      </c>
      <c r="E33">
        <f t="shared" ref="E33:E37" si="5">0.0000115869641411928*2^A33 / 10 / 3600</f>
        <v>2.7647573359082109</v>
      </c>
      <c r="G33">
        <f>0.0000115869641411928*2^A33 / 100</f>
        <v>995.31264092695608</v>
      </c>
    </row>
    <row r="34" spans="1:8" ht="15.75" thickBot="1" x14ac:dyDescent="0.3">
      <c r="A34" s="5">
        <f t="shared" si="3"/>
        <v>34</v>
      </c>
      <c r="C34" s="2">
        <f t="shared" ref="C34:C43" si="6">0.0000115869641411928*2^A34 / 3600 / 24</f>
        <v>2.3039644465901761</v>
      </c>
      <c r="E34">
        <f t="shared" si="5"/>
        <v>5.5295146718164219</v>
      </c>
      <c r="G34">
        <f t="shared" si="2"/>
        <v>1990.6252818539122</v>
      </c>
      <c r="H34" t="s">
        <v>0</v>
      </c>
    </row>
    <row r="35" spans="1:8" ht="15.75" thickBot="1" x14ac:dyDescent="0.3">
      <c r="A35">
        <f t="shared" si="3"/>
        <v>35</v>
      </c>
      <c r="C35" s="2">
        <f t="shared" si="6"/>
        <v>4.6079288931803521</v>
      </c>
      <c r="E35">
        <f t="shared" si="5"/>
        <v>11.059029343632844</v>
      </c>
      <c r="G35">
        <f>0.0000115869641411928*2^A35 / 100 / 3600</f>
        <v>1.1059029343632845</v>
      </c>
    </row>
    <row r="36" spans="1:8" ht="15.75" thickBot="1" x14ac:dyDescent="0.3">
      <c r="A36" s="4">
        <f t="shared" si="3"/>
        <v>36</v>
      </c>
      <c r="C36" s="2">
        <f t="shared" si="6"/>
        <v>9.2158577863607043</v>
      </c>
      <c r="E36">
        <f t="shared" si="5"/>
        <v>22.118058687265687</v>
      </c>
      <c r="F36" t="s">
        <v>1</v>
      </c>
      <c r="G36">
        <f t="shared" ref="G36:G42" si="7">0.0000115869641411928*2^A36 / 100 / 3600</f>
        <v>2.2118058687265689</v>
      </c>
    </row>
    <row r="37" spans="1:8" ht="15.75" thickBot="1" x14ac:dyDescent="0.3">
      <c r="A37" s="3">
        <f t="shared" si="3"/>
        <v>37</v>
      </c>
      <c r="C37" s="2">
        <f t="shared" si="6"/>
        <v>18.431715572721409</v>
      </c>
      <c r="D37" t="s">
        <v>2</v>
      </c>
      <c r="E37">
        <f>0.0000115869641411928*2^A37 / 10 / 3600 / 24</f>
        <v>1.8431715572721405</v>
      </c>
      <c r="G37">
        <f t="shared" si="7"/>
        <v>4.4236117374531378</v>
      </c>
    </row>
    <row r="38" spans="1:8" ht="15.75" thickBot="1" x14ac:dyDescent="0.3">
      <c r="A38">
        <f t="shared" si="3"/>
        <v>38</v>
      </c>
      <c r="C38" s="2">
        <f>0.0000115869641411928*2^A38 / 3600 / 24</f>
        <v>36.863431145442817</v>
      </c>
      <c r="E38">
        <f t="shared" ref="E38:E40" si="8">0.0000115869641411928*2^A38 / 10 / 3600 / 24</f>
        <v>3.6863431145442811</v>
      </c>
      <c r="G38">
        <f t="shared" si="7"/>
        <v>8.8472234749062757</v>
      </c>
    </row>
    <row r="39" spans="1:8" ht="15.75" thickBot="1" x14ac:dyDescent="0.3">
      <c r="A39" s="5">
        <f t="shared" si="3"/>
        <v>39</v>
      </c>
      <c r="C39" s="2">
        <f t="shared" si="6"/>
        <v>73.726862290885634</v>
      </c>
      <c r="E39">
        <f t="shared" si="8"/>
        <v>7.3726862290885622</v>
      </c>
      <c r="G39">
        <f t="shared" si="7"/>
        <v>17.694446949812551</v>
      </c>
      <c r="H39" t="s">
        <v>4</v>
      </c>
    </row>
    <row r="40" spans="1:8" ht="15.75" thickBot="1" x14ac:dyDescent="0.3">
      <c r="A40">
        <f t="shared" si="3"/>
        <v>40</v>
      </c>
      <c r="C40" s="2">
        <f t="shared" si="6"/>
        <v>147.45372458177127</v>
      </c>
      <c r="E40">
        <f t="shared" si="8"/>
        <v>14.745372458177124</v>
      </c>
      <c r="G40">
        <f>0.0000115869641411928*2^A40 / 100 / 3600 / 24</f>
        <v>1.4745372458177126</v>
      </c>
    </row>
    <row r="41" spans="1:8" ht="15.75" thickBot="1" x14ac:dyDescent="0.3">
      <c r="A41" s="3">
        <f t="shared" si="3"/>
        <v>41</v>
      </c>
      <c r="C41" s="2">
        <f t="shared" si="6"/>
        <v>294.90744916354254</v>
      </c>
      <c r="D41" t="s">
        <v>3</v>
      </c>
      <c r="E41">
        <f>0.0000115869641411928*2^A41 / 10 / 3600 / 24</f>
        <v>29.490744916354249</v>
      </c>
      <c r="F41" t="s">
        <v>2</v>
      </c>
      <c r="G41">
        <f t="shared" ref="G41:G49" si="9">0.0000115869641411928*2^A41 / 100 / 3600 / 24</f>
        <v>2.9490744916354252</v>
      </c>
    </row>
    <row r="42" spans="1:8" ht="15.75" thickBot="1" x14ac:dyDescent="0.3">
      <c r="A42">
        <f t="shared" si="3"/>
        <v>42</v>
      </c>
      <c r="C42" s="2">
        <f t="shared" si="6"/>
        <v>589.81489832708507</v>
      </c>
      <c r="E42">
        <f>0.0000115869641411928*2^A42 / 10 / 3600 / 24</f>
        <v>58.981489832708498</v>
      </c>
      <c r="G42">
        <f t="shared" si="9"/>
        <v>5.8981489832708505</v>
      </c>
    </row>
    <row r="43" spans="1:8" ht="15.75" thickBot="1" x14ac:dyDescent="0.3">
      <c r="A43">
        <f t="shared" si="3"/>
        <v>43</v>
      </c>
      <c r="C43" s="2">
        <f t="shared" si="6"/>
        <v>1179.6297966541701</v>
      </c>
      <c r="E43">
        <f t="shared" ref="E43:E49" si="10">0.0000115869641411928*2^A43 / 10 / 3600 / 24</f>
        <v>117.962979665417</v>
      </c>
      <c r="G43">
        <f t="shared" si="9"/>
        <v>11.796297966541701</v>
      </c>
    </row>
    <row r="44" spans="1:8" x14ac:dyDescent="0.25">
      <c r="A44" s="4">
        <f t="shared" si="3"/>
        <v>44</v>
      </c>
      <c r="E44">
        <f t="shared" si="10"/>
        <v>235.92595933083399</v>
      </c>
      <c r="F44" t="s">
        <v>3</v>
      </c>
      <c r="G44">
        <f t="shared" si="9"/>
        <v>23.592595933083402</v>
      </c>
      <c r="H44" t="s">
        <v>2</v>
      </c>
    </row>
    <row r="45" spans="1:8" x14ac:dyDescent="0.25">
      <c r="A45">
        <f t="shared" si="3"/>
        <v>45</v>
      </c>
      <c r="E45">
        <f t="shared" si="10"/>
        <v>471.85191866166798</v>
      </c>
      <c r="G45">
        <f t="shared" si="9"/>
        <v>47.185191866166804</v>
      </c>
    </row>
    <row r="46" spans="1:8" x14ac:dyDescent="0.25">
      <c r="A46">
        <f t="shared" si="3"/>
        <v>46</v>
      </c>
      <c r="E46">
        <f t="shared" si="10"/>
        <v>943.70383732333596</v>
      </c>
      <c r="G46">
        <f t="shared" si="9"/>
        <v>94.370383732333607</v>
      </c>
    </row>
    <row r="47" spans="1:8" x14ac:dyDescent="0.25">
      <c r="A47" s="5">
        <f t="shared" si="3"/>
        <v>47</v>
      </c>
      <c r="E47">
        <f t="shared" si="10"/>
        <v>1887.4076746466719</v>
      </c>
      <c r="G47">
        <f t="shared" si="9"/>
        <v>188.74076746466721</v>
      </c>
      <c r="H47" t="s">
        <v>3</v>
      </c>
    </row>
    <row r="48" spans="1:8" x14ac:dyDescent="0.25">
      <c r="A48">
        <f t="shared" si="3"/>
        <v>48</v>
      </c>
      <c r="E48">
        <f t="shared" si="10"/>
        <v>3774.8153492933438</v>
      </c>
      <c r="G48">
        <f t="shared" si="9"/>
        <v>377.48153492933443</v>
      </c>
    </row>
    <row r="49" spans="1:7" x14ac:dyDescent="0.25">
      <c r="A49">
        <f t="shared" si="3"/>
        <v>49</v>
      </c>
      <c r="E49">
        <f t="shared" si="10"/>
        <v>7549.6306985866877</v>
      </c>
      <c r="G49">
        <f t="shared" si="9"/>
        <v>754.96306985866886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E12" sqref="E12"/>
    </sheetView>
  </sheetViews>
  <sheetFormatPr defaultRowHeight="15" x14ac:dyDescent="0.25"/>
  <cols>
    <col min="2" max="2" width="11.7109375" customWidth="1"/>
    <col min="4" max="5" width="12" bestFit="1" customWidth="1"/>
  </cols>
  <sheetData>
    <row r="1" spans="1:6" x14ac:dyDescent="0.25">
      <c r="A1">
        <v>1</v>
      </c>
      <c r="B1">
        <f>FACT(A1)</f>
        <v>1</v>
      </c>
      <c r="E1">
        <f>B1*$D$9</f>
        <v>1.1317791005291006E-5</v>
      </c>
    </row>
    <row r="2" spans="1:6" x14ac:dyDescent="0.25">
      <c r="A2">
        <f>A1 + 1</f>
        <v>2</v>
      </c>
      <c r="B2">
        <f t="shared" ref="B2:B26" si="0">FACT(A2)</f>
        <v>2</v>
      </c>
      <c r="E2">
        <f t="shared" ref="E2:E26" si="1">B2*$D$9</f>
        <v>2.2635582010582011E-5</v>
      </c>
    </row>
    <row r="3" spans="1:6" x14ac:dyDescent="0.25">
      <c r="A3">
        <f t="shared" ref="A3:A8" si="2">A2 + 1</f>
        <v>3</v>
      </c>
      <c r="B3">
        <f t="shared" si="0"/>
        <v>6</v>
      </c>
      <c r="E3">
        <f t="shared" si="1"/>
        <v>6.7906746031746033E-5</v>
      </c>
    </row>
    <row r="4" spans="1:6" x14ac:dyDescent="0.25">
      <c r="A4">
        <f t="shared" si="2"/>
        <v>4</v>
      </c>
      <c r="B4">
        <f t="shared" si="0"/>
        <v>24</v>
      </c>
      <c r="E4">
        <f t="shared" si="1"/>
        <v>2.7162698412698413E-4</v>
      </c>
    </row>
    <row r="5" spans="1:6" x14ac:dyDescent="0.25">
      <c r="A5">
        <f t="shared" si="2"/>
        <v>5</v>
      </c>
      <c r="B5">
        <f t="shared" si="0"/>
        <v>120</v>
      </c>
      <c r="E5">
        <f t="shared" si="1"/>
        <v>1.3581349206349207E-3</v>
      </c>
    </row>
    <row r="6" spans="1:6" x14ac:dyDescent="0.25">
      <c r="A6">
        <f t="shared" si="2"/>
        <v>6</v>
      </c>
      <c r="B6">
        <f t="shared" si="0"/>
        <v>720</v>
      </c>
      <c r="E6">
        <f t="shared" si="1"/>
        <v>8.1488095238095234E-3</v>
      </c>
    </row>
    <row r="7" spans="1:6" x14ac:dyDescent="0.25">
      <c r="A7">
        <f t="shared" si="2"/>
        <v>7</v>
      </c>
      <c r="B7">
        <f t="shared" si="0"/>
        <v>5040</v>
      </c>
      <c r="E7">
        <f t="shared" si="1"/>
        <v>5.7041666666666671E-2</v>
      </c>
    </row>
    <row r="8" spans="1:6" x14ac:dyDescent="0.25">
      <c r="A8">
        <f t="shared" si="2"/>
        <v>8</v>
      </c>
      <c r="B8">
        <f t="shared" si="0"/>
        <v>40320</v>
      </c>
      <c r="E8">
        <f t="shared" si="1"/>
        <v>0.45633333333333337</v>
      </c>
    </row>
    <row r="9" spans="1:6" x14ac:dyDescent="0.25">
      <c r="A9">
        <f>A8 + 1</f>
        <v>9</v>
      </c>
      <c r="B9">
        <f t="shared" si="0"/>
        <v>362880</v>
      </c>
      <c r="C9">
        <v>4.1070000000000002</v>
      </c>
      <c r="D9">
        <f>C9 / B9</f>
        <v>1.1317791005291006E-5</v>
      </c>
      <c r="E9">
        <f t="shared" si="1"/>
        <v>4.1070000000000002</v>
      </c>
    </row>
    <row r="10" spans="1:6" x14ac:dyDescent="0.25">
      <c r="A10">
        <f t="shared" ref="A10:A26" si="3">A9 + 1</f>
        <v>10</v>
      </c>
      <c r="B10">
        <f t="shared" si="0"/>
        <v>3628800</v>
      </c>
      <c r="E10">
        <f t="shared" si="1"/>
        <v>41.07</v>
      </c>
    </row>
    <row r="11" spans="1:6" x14ac:dyDescent="0.25">
      <c r="A11" s="3">
        <f t="shared" si="3"/>
        <v>11</v>
      </c>
      <c r="B11">
        <f t="shared" si="0"/>
        <v>39916800</v>
      </c>
      <c r="E11">
        <f t="shared" si="1"/>
        <v>451.77</v>
      </c>
      <c r="F11" t="s">
        <v>0</v>
      </c>
    </row>
    <row r="12" spans="1:6" x14ac:dyDescent="0.25">
      <c r="A12">
        <f t="shared" si="3"/>
        <v>12</v>
      </c>
      <c r="B12">
        <f t="shared" si="0"/>
        <v>479001600</v>
      </c>
      <c r="E12">
        <f>B12*$D$9 / 3600</f>
        <v>1.5059</v>
      </c>
    </row>
    <row r="13" spans="1:6" x14ac:dyDescent="0.25">
      <c r="A13" s="3">
        <f t="shared" si="3"/>
        <v>13</v>
      </c>
      <c r="B13">
        <f t="shared" si="0"/>
        <v>6227020800</v>
      </c>
      <c r="E13">
        <f t="shared" ref="E13:E26" si="4">B13*$D$9 / 3600</f>
        <v>19.576699999999999</v>
      </c>
      <c r="F13" t="s">
        <v>5</v>
      </c>
    </row>
    <row r="14" spans="1:6" x14ac:dyDescent="0.25">
      <c r="A14" s="3">
        <f t="shared" si="3"/>
        <v>14</v>
      </c>
      <c r="B14">
        <f t="shared" si="0"/>
        <v>87178291200</v>
      </c>
      <c r="E14">
        <f>B14*$D$9 / 3600 / 24</f>
        <v>11.419741666666667</v>
      </c>
      <c r="F14" t="s">
        <v>2</v>
      </c>
    </row>
    <row r="15" spans="1:6" x14ac:dyDescent="0.25">
      <c r="A15" s="3">
        <f t="shared" si="3"/>
        <v>15</v>
      </c>
      <c r="B15">
        <f t="shared" si="0"/>
        <v>1307674368000</v>
      </c>
      <c r="E15">
        <f t="shared" ref="E15:E26" si="5">B15*$D$9 / 3600 / 24</f>
        <v>171.29612499999999</v>
      </c>
      <c r="F15" t="s">
        <v>3</v>
      </c>
    </row>
    <row r="16" spans="1:6" x14ac:dyDescent="0.25">
      <c r="A16">
        <f t="shared" si="3"/>
        <v>16</v>
      </c>
      <c r="B16">
        <f t="shared" si="0"/>
        <v>20922789888000</v>
      </c>
      <c r="E16">
        <f t="shared" si="5"/>
        <v>2740.7379999999998</v>
      </c>
    </row>
    <row r="17" spans="1:5" x14ac:dyDescent="0.25">
      <c r="A17">
        <f t="shared" si="3"/>
        <v>17</v>
      </c>
      <c r="B17">
        <f t="shared" si="0"/>
        <v>355687428096000</v>
      </c>
      <c r="E17">
        <f t="shared" si="5"/>
        <v>46592.546000000002</v>
      </c>
    </row>
    <row r="18" spans="1:5" x14ac:dyDescent="0.25">
      <c r="A18">
        <f t="shared" si="3"/>
        <v>18</v>
      </c>
      <c r="B18">
        <f t="shared" si="0"/>
        <v>6402373705728000</v>
      </c>
      <c r="E18">
        <f t="shared" si="5"/>
        <v>838665.82799999986</v>
      </c>
    </row>
    <row r="19" spans="1:5" x14ac:dyDescent="0.25">
      <c r="A19">
        <f t="shared" si="3"/>
        <v>19</v>
      </c>
      <c r="B19">
        <f t="shared" si="0"/>
        <v>1.21645100408832E+17</v>
      </c>
      <c r="E19">
        <f t="shared" si="5"/>
        <v>15934650.732000001</v>
      </c>
    </row>
    <row r="20" spans="1:5" x14ac:dyDescent="0.25">
      <c r="A20">
        <f t="shared" si="3"/>
        <v>20</v>
      </c>
      <c r="B20">
        <f t="shared" si="0"/>
        <v>2.43290200817664E+18</v>
      </c>
      <c r="E20">
        <f t="shared" si="5"/>
        <v>318693014.63999999</v>
      </c>
    </row>
    <row r="21" spans="1:5" x14ac:dyDescent="0.25">
      <c r="A21">
        <f t="shared" si="3"/>
        <v>21</v>
      </c>
      <c r="B21">
        <f t="shared" si="0"/>
        <v>5.109094217170944E+19</v>
      </c>
      <c r="E21">
        <f t="shared" si="5"/>
        <v>6692553307.4399996</v>
      </c>
    </row>
    <row r="22" spans="1:5" x14ac:dyDescent="0.25">
      <c r="A22">
        <f t="shared" si="3"/>
        <v>22</v>
      </c>
      <c r="B22">
        <f t="shared" si="0"/>
        <v>1.1240007277776077E+21</v>
      </c>
      <c r="E22">
        <f t="shared" si="5"/>
        <v>147236172763.67999</v>
      </c>
    </row>
    <row r="23" spans="1:5" x14ac:dyDescent="0.25">
      <c r="A23">
        <f t="shared" si="3"/>
        <v>23</v>
      </c>
      <c r="B23">
        <f t="shared" si="0"/>
        <v>2.5852016738884978E+22</v>
      </c>
      <c r="E23">
        <f t="shared" si="5"/>
        <v>3386431973564.6401</v>
      </c>
    </row>
    <row r="24" spans="1:5" x14ac:dyDescent="0.25">
      <c r="A24">
        <f t="shared" si="3"/>
        <v>24</v>
      </c>
      <c r="B24">
        <f t="shared" si="0"/>
        <v>6.2044840173323941E+23</v>
      </c>
      <c r="E24">
        <f t="shared" si="5"/>
        <v>81274367365551.359</v>
      </c>
    </row>
    <row r="25" spans="1:5" x14ac:dyDescent="0.25">
      <c r="A25">
        <f t="shared" si="3"/>
        <v>25</v>
      </c>
      <c r="B25">
        <f t="shared" si="0"/>
        <v>1.5511210043330984E+25</v>
      </c>
      <c r="E25">
        <f t="shared" si="5"/>
        <v>2031859184138784</v>
      </c>
    </row>
    <row r="26" spans="1:5" x14ac:dyDescent="0.25">
      <c r="A26">
        <f t="shared" si="3"/>
        <v>26</v>
      </c>
      <c r="B26">
        <f t="shared" si="0"/>
        <v>4.0329146112660572E+26</v>
      </c>
      <c r="E26">
        <f t="shared" si="5"/>
        <v>5.2828338787608392E+16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B1" sqref="B1"/>
    </sheetView>
  </sheetViews>
  <sheetFormatPr defaultRowHeight="15" x14ac:dyDescent="0.25"/>
  <sheetData>
    <row r="1" spans="1:4" x14ac:dyDescent="0.25">
      <c r="A1">
        <v>0</v>
      </c>
      <c r="B1">
        <f>FACT(5) / FACT(5 - A1)</f>
        <v>1</v>
      </c>
      <c r="C1">
        <f>FACT(7) / FACT(7 - A1)</f>
        <v>1</v>
      </c>
      <c r="D1">
        <f>FACT(9) / FACT(9 - A1)</f>
        <v>1</v>
      </c>
    </row>
    <row r="2" spans="1:4" x14ac:dyDescent="0.25">
      <c r="A2">
        <f>A1 + 1</f>
        <v>1</v>
      </c>
      <c r="B2">
        <f t="shared" ref="B2:B6" si="0">FACT(5) / FACT(5 - A2)</f>
        <v>5</v>
      </c>
      <c r="C2">
        <f t="shared" ref="C2:C8" si="1">FACT(7) / FACT(7 - A2)</f>
        <v>7</v>
      </c>
      <c r="D2">
        <f t="shared" ref="D2:D10" si="2">FACT(9) / FACT(9 - A2)</f>
        <v>9</v>
      </c>
    </row>
    <row r="3" spans="1:4" x14ac:dyDescent="0.25">
      <c r="A3">
        <f t="shared" ref="A3:A9" si="3">A2 + 1</f>
        <v>2</v>
      </c>
      <c r="B3">
        <f t="shared" si="0"/>
        <v>20</v>
      </c>
      <c r="C3">
        <f t="shared" si="1"/>
        <v>42</v>
      </c>
      <c r="D3">
        <f t="shared" si="2"/>
        <v>72</v>
      </c>
    </row>
    <row r="4" spans="1:4" x14ac:dyDescent="0.25">
      <c r="A4">
        <f t="shared" si="3"/>
        <v>3</v>
      </c>
      <c r="B4">
        <f t="shared" si="0"/>
        <v>60</v>
      </c>
      <c r="C4">
        <f t="shared" si="1"/>
        <v>210</v>
      </c>
      <c r="D4">
        <f t="shared" si="2"/>
        <v>504</v>
      </c>
    </row>
    <row r="5" spans="1:4" x14ac:dyDescent="0.25">
      <c r="A5">
        <f t="shared" si="3"/>
        <v>4</v>
      </c>
      <c r="B5">
        <f t="shared" si="0"/>
        <v>120</v>
      </c>
      <c r="C5">
        <f t="shared" si="1"/>
        <v>840</v>
      </c>
      <c r="D5">
        <f t="shared" si="2"/>
        <v>3024</v>
      </c>
    </row>
    <row r="6" spans="1:4" x14ac:dyDescent="0.25">
      <c r="A6">
        <f t="shared" si="3"/>
        <v>5</v>
      </c>
      <c r="B6">
        <f t="shared" si="0"/>
        <v>120</v>
      </c>
      <c r="C6">
        <f t="shared" si="1"/>
        <v>2520</v>
      </c>
      <c r="D6">
        <f t="shared" si="2"/>
        <v>15120</v>
      </c>
    </row>
    <row r="7" spans="1:4" x14ac:dyDescent="0.25">
      <c r="A7">
        <f t="shared" si="3"/>
        <v>6</v>
      </c>
      <c r="C7">
        <f t="shared" si="1"/>
        <v>5040</v>
      </c>
      <c r="D7">
        <f t="shared" si="2"/>
        <v>60480</v>
      </c>
    </row>
    <row r="8" spans="1:4" x14ac:dyDescent="0.25">
      <c r="A8">
        <f t="shared" si="3"/>
        <v>7</v>
      </c>
      <c r="C8">
        <f t="shared" si="1"/>
        <v>5040</v>
      </c>
      <c r="D8">
        <f t="shared" si="2"/>
        <v>181440</v>
      </c>
    </row>
    <row r="9" spans="1:4" x14ac:dyDescent="0.25">
      <c r="A9">
        <f t="shared" si="3"/>
        <v>8</v>
      </c>
      <c r="D9">
        <f t="shared" si="2"/>
        <v>362880</v>
      </c>
    </row>
    <row r="10" spans="1:4" x14ac:dyDescent="0.25">
      <c r="A10">
        <f>A9 + 1</f>
        <v>9</v>
      </c>
      <c r="D10">
        <f t="shared" si="2"/>
        <v>362880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2023-04-23T20:42:44Z</dcterms:modified>
</cp:coreProperties>
</file>