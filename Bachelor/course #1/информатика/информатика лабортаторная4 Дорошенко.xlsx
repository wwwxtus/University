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Лист1" sheetId="1" r:id="rId1"/>
    <sheet name="Лист2" sheetId="3" r:id="rId2"/>
    <sheet name="0 " sheetId="2" r:id="rId3"/>
  </sheets>
  <calcPr calcId="152511"/>
</workbook>
</file>

<file path=xl/calcChain.xml><?xml version="1.0" encoding="utf-8"?>
<calcChain xmlns="http://schemas.openxmlformats.org/spreadsheetml/2006/main">
  <c r="C2" i="3" l="1"/>
  <c r="H13" i="2"/>
  <c r="H2" i="2"/>
  <c r="H3" i="2"/>
  <c r="H4" i="2"/>
  <c r="H5" i="2"/>
  <c r="H6" i="2"/>
  <c r="H7" i="2"/>
  <c r="H8" i="2"/>
  <c r="H9" i="2"/>
  <c r="H10" i="2"/>
  <c r="H11" i="2"/>
  <c r="D2" i="2" l="1"/>
  <c r="D3" i="2"/>
  <c r="D4" i="2"/>
  <c r="D5" i="2"/>
  <c r="D6" i="2"/>
  <c r="D7" i="2"/>
  <c r="D8" i="2"/>
  <c r="D9" i="2"/>
  <c r="D10" i="2"/>
  <c r="D11" i="2"/>
  <c r="B3" i="2"/>
  <c r="B4" i="2"/>
  <c r="B5" i="2"/>
  <c r="B6" i="2"/>
  <c r="B7" i="2"/>
  <c r="B8" i="2"/>
  <c r="B9" i="2"/>
  <c r="B10" i="2"/>
  <c r="B2" i="2"/>
  <c r="H2" i="1" l="1"/>
  <c r="I2" i="1"/>
  <c r="H3" i="1"/>
  <c r="H4" i="1"/>
  <c r="H5" i="1"/>
  <c r="H6" i="1"/>
  <c r="H7" i="1"/>
  <c r="H8" i="1"/>
  <c r="H9" i="1"/>
  <c r="H10" i="1"/>
  <c r="H11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<sst xmlns="http://schemas.openxmlformats.org/spreadsheetml/2006/main" count="37" uniqueCount="30">
  <si>
    <t>№</t>
  </si>
  <si>
    <t xml:space="preserve">Наименование </t>
  </si>
  <si>
    <t xml:space="preserve">Цена </t>
  </si>
  <si>
    <t xml:space="preserve">Единица измерения </t>
  </si>
  <si>
    <t>Кол-во</t>
  </si>
  <si>
    <t>Стоимость товара</t>
  </si>
  <si>
    <t>Краска фасадная</t>
  </si>
  <si>
    <t>Краска маслянная</t>
  </si>
  <si>
    <t>Цемент М-500</t>
  </si>
  <si>
    <t>Доска пола</t>
  </si>
  <si>
    <t>Известь</t>
  </si>
  <si>
    <t>Алебастр белый</t>
  </si>
  <si>
    <t>Гипсокартон</t>
  </si>
  <si>
    <t>Плитка керамическая</t>
  </si>
  <si>
    <t>Петля Avers универс</t>
  </si>
  <si>
    <t>Ручка дверная</t>
  </si>
  <si>
    <t>кг.</t>
  </si>
  <si>
    <t>1 уп. (50 кг)</t>
  </si>
  <si>
    <t>шт.</t>
  </si>
  <si>
    <t>1 уп. (2 кг.)</t>
  </si>
  <si>
    <t>1 уп. (5 кг.)</t>
  </si>
  <si>
    <t>1 шт.</t>
  </si>
  <si>
    <t>м^2</t>
  </si>
  <si>
    <t>Ответ</t>
  </si>
  <si>
    <t>x</t>
  </si>
  <si>
    <t>y</t>
  </si>
  <si>
    <t>z</t>
  </si>
  <si>
    <t>f(x, y, z) = x + y + z*z</t>
  </si>
  <si>
    <t>m</t>
  </si>
  <si>
    <t>Точек &gt;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</si>
</sst>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'0 '!$D$2:$D$11</c:f>
              <c:numCache>
                <c:formatCode>General</c:formatCode>
                <c:ptCount val="10"/>
                <c:pt idx="0">
                  <c:v>124</c:v>
                </c:pt>
                <c:pt idx="1">
                  <c:v>145.19999999999999</c:v>
                </c:pt>
                <c:pt idx="2">
                  <c:v>168.4</c:v>
                </c:pt>
                <c:pt idx="3">
                  <c:v>193.6</c:v>
                </c:pt>
                <c:pt idx="4">
                  <c:v>220.8</c:v>
                </c:pt>
                <c:pt idx="5">
                  <c:v>223.81</c:v>
                </c:pt>
                <c:pt idx="6">
                  <c:v>226.83999999999997</c:v>
                </c:pt>
                <c:pt idx="7">
                  <c:v>229.89000000000001</c:v>
                </c:pt>
                <c:pt idx="8">
                  <c:v>232.96</c:v>
                </c:pt>
                <c:pt idx="9">
                  <c:v>236.05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'0 '!$E$2:$E$11</c:f>
              <c:numCache>
                <c:formatCode>General</c:formatCode>
                <c:ptCount val="10"/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'0 '!$F$2:$F$11</c:f>
              <c:numCache>
                <c:formatCode>General</c:formatCode>
                <c:ptCount val="1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236496"/>
        <c:axId val="398601280"/>
      </c:lineChart>
      <c:catAx>
        <c:axId val="160236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8601280"/>
        <c:crosses val="autoZero"/>
        <c:auto val="1"/>
        <c:lblAlgn val="ctr"/>
        <c:lblOffset val="100"/>
        <c:noMultiLvlLbl val="0"/>
      </c:catAx>
      <c:valAx>
        <c:axId val="39860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23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H2" sqref="H2"/>
    </sheetView>
  </sheetViews>
  <sheetFormatPr defaultRowHeight="15" x14ac:dyDescent="0.25"/>
  <cols>
    <col min="2" max="2" width="20.85546875" style="1" customWidth="1"/>
    <col min="3" max="3" width="9.140625" style="1"/>
    <col min="4" max="4" width="19" style="1" customWidth="1"/>
    <col min="5" max="5" width="9.140625" style="1"/>
    <col min="6" max="6" width="19.140625" customWidth="1"/>
    <col min="9" max="9" width="18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23</v>
      </c>
    </row>
    <row r="2" spans="1:9" x14ac:dyDescent="0.25">
      <c r="A2">
        <v>1</v>
      </c>
      <c r="B2" s="2" t="s">
        <v>6</v>
      </c>
      <c r="C2" s="1">
        <v>525</v>
      </c>
      <c r="D2" s="1" t="s">
        <v>16</v>
      </c>
      <c r="E2" s="1">
        <v>100</v>
      </c>
      <c r="F2">
        <f>C2*E2</f>
        <v>52500</v>
      </c>
      <c r="H2">
        <f>G4</f>
        <v>0</v>
      </c>
      <c r="I2" s="1">
        <f>H3</f>
        <v>7774.4000000000005</v>
      </c>
    </row>
    <row r="3" spans="1:9" x14ac:dyDescent="0.25">
      <c r="A3">
        <v>2</v>
      </c>
      <c r="B3" s="2" t="s">
        <v>7</v>
      </c>
      <c r="C3" s="1">
        <v>48.59</v>
      </c>
      <c r="D3" s="1" t="s">
        <v>16</v>
      </c>
      <c r="E3" s="1">
        <v>160</v>
      </c>
      <c r="F3">
        <f t="shared" ref="F3:F11" si="0">C3*E3</f>
        <v>7774.4000000000005</v>
      </c>
      <c r="H3">
        <f t="shared" ref="H3:H11" si="1">IF(C3 &lt; 100, F3, 0)</f>
        <v>7774.4000000000005</v>
      </c>
    </row>
    <row r="4" spans="1:9" x14ac:dyDescent="0.25">
      <c r="A4">
        <v>3</v>
      </c>
      <c r="B4" s="2" t="s">
        <v>8</v>
      </c>
      <c r="C4" s="1">
        <v>240</v>
      </c>
      <c r="D4" s="1" t="s">
        <v>17</v>
      </c>
      <c r="E4" s="1">
        <v>350</v>
      </c>
      <c r="F4">
        <f t="shared" si="0"/>
        <v>84000</v>
      </c>
      <c r="H4">
        <f t="shared" si="1"/>
        <v>0</v>
      </c>
    </row>
    <row r="5" spans="1:9" x14ac:dyDescent="0.25">
      <c r="A5">
        <v>4</v>
      </c>
      <c r="B5" s="2" t="s">
        <v>9</v>
      </c>
      <c r="C5" s="1">
        <v>357</v>
      </c>
      <c r="D5" s="1" t="s">
        <v>18</v>
      </c>
      <c r="E5" s="1">
        <v>1050</v>
      </c>
      <c r="F5">
        <f t="shared" si="0"/>
        <v>374850</v>
      </c>
      <c r="H5">
        <f t="shared" si="1"/>
        <v>0</v>
      </c>
    </row>
    <row r="6" spans="1:9" x14ac:dyDescent="0.25">
      <c r="A6">
        <v>5</v>
      </c>
      <c r="B6" s="2" t="s">
        <v>10</v>
      </c>
      <c r="C6" s="1">
        <v>25</v>
      </c>
      <c r="D6" s="1" t="s">
        <v>19</v>
      </c>
      <c r="E6" s="1">
        <v>85</v>
      </c>
      <c r="F6">
        <f t="shared" si="0"/>
        <v>2125</v>
      </c>
      <c r="H6">
        <f t="shared" si="1"/>
        <v>2125</v>
      </c>
    </row>
    <row r="7" spans="1:9" x14ac:dyDescent="0.25">
      <c r="A7">
        <v>6</v>
      </c>
      <c r="B7" s="2" t="s">
        <v>11</v>
      </c>
      <c r="C7" s="1">
        <v>48</v>
      </c>
      <c r="D7" s="1" t="s">
        <v>20</v>
      </c>
      <c r="E7" s="1">
        <v>95</v>
      </c>
      <c r="F7">
        <f t="shared" si="0"/>
        <v>4560</v>
      </c>
      <c r="H7">
        <f t="shared" si="1"/>
        <v>4560</v>
      </c>
    </row>
    <row r="8" spans="1:9" x14ac:dyDescent="0.25">
      <c r="A8">
        <v>7</v>
      </c>
      <c r="B8" s="2" t="s">
        <v>12</v>
      </c>
      <c r="C8" s="1">
        <v>195</v>
      </c>
      <c r="D8" s="1" t="s">
        <v>21</v>
      </c>
      <c r="E8" s="1">
        <v>130</v>
      </c>
      <c r="F8">
        <f t="shared" si="0"/>
        <v>25350</v>
      </c>
      <c r="H8">
        <f t="shared" si="1"/>
        <v>0</v>
      </c>
    </row>
    <row r="9" spans="1:9" x14ac:dyDescent="0.25">
      <c r="A9">
        <v>8</v>
      </c>
      <c r="B9" s="2" t="s">
        <v>13</v>
      </c>
      <c r="C9" s="1">
        <v>679</v>
      </c>
      <c r="D9" s="1" t="s">
        <v>22</v>
      </c>
      <c r="E9" s="1">
        <v>250</v>
      </c>
      <c r="F9">
        <f t="shared" si="0"/>
        <v>169750</v>
      </c>
      <c r="H9">
        <f t="shared" si="1"/>
        <v>0</v>
      </c>
    </row>
    <row r="10" spans="1:9" x14ac:dyDescent="0.25">
      <c r="A10">
        <v>9</v>
      </c>
      <c r="B10" s="2" t="s">
        <v>14</v>
      </c>
      <c r="C10" s="1">
        <v>103.2</v>
      </c>
      <c r="D10" s="1" t="s">
        <v>18</v>
      </c>
      <c r="E10" s="1">
        <v>30</v>
      </c>
      <c r="F10">
        <f t="shared" si="0"/>
        <v>3096</v>
      </c>
      <c r="H10">
        <f t="shared" si="1"/>
        <v>0</v>
      </c>
    </row>
    <row r="11" spans="1:9" x14ac:dyDescent="0.25">
      <c r="A11">
        <v>10</v>
      </c>
      <c r="B11" s="2" t="s">
        <v>15</v>
      </c>
      <c r="C11" s="1">
        <v>286</v>
      </c>
      <c r="D11" s="1" t="s">
        <v>18</v>
      </c>
      <c r="E11" s="1">
        <v>30</v>
      </c>
      <c r="F11">
        <f t="shared" si="0"/>
        <v>8580</v>
      </c>
      <c r="H11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9.140625" style="3"/>
  </cols>
  <sheetData>
    <row r="1" spans="1:3" x14ac:dyDescent="0.25">
      <c r="A1" s="3" t="s">
        <v>24</v>
      </c>
      <c r="B1" t="s">
        <v>25</v>
      </c>
      <c r="C1" t="s">
        <v>23</v>
      </c>
    </row>
    <row r="2" spans="1:3" x14ac:dyDescent="0.25">
      <c r="A2" s="3">
        <v>4</v>
      </c>
      <c r="B2">
        <v>2</v>
      </c>
      <c r="C2">
        <f>IF(A2&lt;&gt;0,5+((A2-2)/(2*A2))/(4+B2*B2),0)</f>
        <v>5.03125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D16" sqref="D16"/>
    </sheetView>
  </sheetViews>
  <sheetFormatPr defaultRowHeight="15" x14ac:dyDescent="0.25"/>
  <cols>
    <col min="1" max="1" width="9.140625" style="3"/>
    <col min="4" max="4" width="18.28515625" customWidth="1"/>
  </cols>
  <sheetData>
    <row r="1" spans="1:8" x14ac:dyDescent="0.25">
      <c r="A1" s="3" t="s">
        <v>24</v>
      </c>
      <c r="B1" t="s">
        <v>25</v>
      </c>
      <c r="C1" t="s">
        <v>26</v>
      </c>
      <c r="D1" t="s">
        <v>27</v>
      </c>
      <c r="F1" t="s">
        <v>28</v>
      </c>
      <c r="H1" t="s">
        <v>29</v>
      </c>
    </row>
    <row r="2" spans="1:8" x14ac:dyDescent="0.25">
      <c r="A2" s="3">
        <v>11</v>
      </c>
      <c r="B2" s="3">
        <f>A2+2</f>
        <v>13</v>
      </c>
      <c r="C2">
        <v>10</v>
      </c>
      <c r="D2">
        <f>A2+B2+(C2*C2)</f>
        <v>124</v>
      </c>
      <c r="F2">
        <v>200</v>
      </c>
      <c r="H2">
        <f>IF(D2&gt;F2,1,0)</f>
        <v>0</v>
      </c>
    </row>
    <row r="3" spans="1:8" x14ac:dyDescent="0.25">
      <c r="A3" s="3">
        <v>11.1</v>
      </c>
      <c r="B3" s="3">
        <f t="shared" ref="B3:B10" si="0">A3+2</f>
        <v>13.1</v>
      </c>
      <c r="C3">
        <v>11</v>
      </c>
      <c r="D3">
        <f t="shared" ref="D3:D11" si="1">A3+B3+(C3*C3)</f>
        <v>145.19999999999999</v>
      </c>
      <c r="F3">
        <v>200</v>
      </c>
      <c r="H3">
        <f t="shared" ref="H3:H11" si="2">IF(D3&gt;F3,1,0)</f>
        <v>0</v>
      </c>
    </row>
    <row r="4" spans="1:8" x14ac:dyDescent="0.25">
      <c r="A4" s="3">
        <v>11.2</v>
      </c>
      <c r="B4" s="3">
        <f t="shared" si="0"/>
        <v>13.2</v>
      </c>
      <c r="C4">
        <v>12</v>
      </c>
      <c r="D4">
        <f t="shared" si="1"/>
        <v>168.4</v>
      </c>
      <c r="F4">
        <v>200</v>
      </c>
      <c r="H4">
        <f t="shared" si="2"/>
        <v>0</v>
      </c>
    </row>
    <row r="5" spans="1:8" x14ac:dyDescent="0.25">
      <c r="A5" s="3">
        <v>11.3</v>
      </c>
      <c r="B5" s="3">
        <f t="shared" si="0"/>
        <v>13.3</v>
      </c>
      <c r="C5">
        <v>13</v>
      </c>
      <c r="D5">
        <f t="shared" si="1"/>
        <v>193.6</v>
      </c>
      <c r="F5">
        <v>200</v>
      </c>
      <c r="H5">
        <f t="shared" si="2"/>
        <v>0</v>
      </c>
    </row>
    <row r="6" spans="1:8" x14ac:dyDescent="0.25">
      <c r="A6" s="3">
        <v>11.4</v>
      </c>
      <c r="B6" s="3">
        <f t="shared" si="0"/>
        <v>13.4</v>
      </c>
      <c r="C6">
        <v>14</v>
      </c>
      <c r="D6">
        <f t="shared" si="1"/>
        <v>220.8</v>
      </c>
      <c r="F6">
        <v>200</v>
      </c>
      <c r="H6">
        <f t="shared" si="2"/>
        <v>1</v>
      </c>
    </row>
    <row r="7" spans="1:8" x14ac:dyDescent="0.25">
      <c r="A7" s="3">
        <v>11.5</v>
      </c>
      <c r="B7" s="3">
        <f t="shared" si="0"/>
        <v>13.5</v>
      </c>
      <c r="C7">
        <v>14.1</v>
      </c>
      <c r="D7">
        <f t="shared" si="1"/>
        <v>223.81</v>
      </c>
      <c r="F7">
        <v>200</v>
      </c>
      <c r="H7">
        <f t="shared" si="2"/>
        <v>1</v>
      </c>
    </row>
    <row r="8" spans="1:8" x14ac:dyDescent="0.25">
      <c r="A8" s="3">
        <v>11.6</v>
      </c>
      <c r="B8" s="3">
        <f t="shared" si="0"/>
        <v>13.6</v>
      </c>
      <c r="C8">
        <v>14.2</v>
      </c>
      <c r="D8">
        <f t="shared" si="1"/>
        <v>226.83999999999997</v>
      </c>
      <c r="F8">
        <v>200</v>
      </c>
      <c r="H8">
        <f t="shared" si="2"/>
        <v>1</v>
      </c>
    </row>
    <row r="9" spans="1:8" x14ac:dyDescent="0.25">
      <c r="A9" s="3">
        <v>11.7</v>
      </c>
      <c r="B9" s="3">
        <f t="shared" si="0"/>
        <v>13.7</v>
      </c>
      <c r="C9">
        <v>14.3</v>
      </c>
      <c r="D9">
        <f t="shared" si="1"/>
        <v>229.89000000000001</v>
      </c>
      <c r="F9">
        <v>200</v>
      </c>
      <c r="H9">
        <f t="shared" si="2"/>
        <v>1</v>
      </c>
    </row>
    <row r="10" spans="1:8" x14ac:dyDescent="0.25">
      <c r="A10" s="3">
        <v>11.8</v>
      </c>
      <c r="B10" s="3">
        <f t="shared" si="0"/>
        <v>13.8</v>
      </c>
      <c r="C10">
        <v>14.4</v>
      </c>
      <c r="D10">
        <f t="shared" si="1"/>
        <v>232.96</v>
      </c>
      <c r="F10">
        <v>200</v>
      </c>
      <c r="H10">
        <f t="shared" si="2"/>
        <v>1</v>
      </c>
    </row>
    <row r="11" spans="1:8" x14ac:dyDescent="0.25">
      <c r="A11" s="3">
        <v>11.9</v>
      </c>
      <c r="B11">
        <v>13.9</v>
      </c>
      <c r="C11">
        <v>14.5</v>
      </c>
      <c r="D11">
        <f t="shared" si="1"/>
        <v>236.05</v>
      </c>
      <c r="F11">
        <v>200</v>
      </c>
      <c r="H11">
        <f t="shared" si="2"/>
        <v>1</v>
      </c>
    </row>
    <row r="12" spans="1:8" x14ac:dyDescent="0.25">
      <c r="H12" t="s">
        <v>23</v>
      </c>
    </row>
    <row r="13" spans="1:8" x14ac:dyDescent="0.25">
      <c r="H13">
        <f>SUM(H2:H11)</f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0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2022-11-22T19:59:59Z</dcterms:modified>
</cp:coreProperties>
</file>